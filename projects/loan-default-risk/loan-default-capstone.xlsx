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7df2f8b162b75a/U of U/Undergrad/Data Analytics Google Cert/Capstone/"/>
    </mc:Choice>
  </mc:AlternateContent>
  <xr:revisionPtr revIDLastSave="893" documentId="8_{67042966-5D2A-4E1B-9015-736DFD8701F7}" xr6:coauthVersionLast="47" xr6:coauthVersionMax="47" xr10:uidLastSave="{C01592A8-5782-431F-9834-B9228D4266D3}"/>
  <bookViews>
    <workbookView xWindow="-33825" yWindow="3375" windowWidth="28800" windowHeight="15345" xr2:uid="{C3C7C305-07BA-46B9-967C-ACA6D1239120}"/>
  </bookViews>
  <sheets>
    <sheet name="ReadMe" sheetId="8" r:id="rId1"/>
    <sheet name="Input" sheetId="1" r:id="rId2"/>
    <sheet name="Results Dashboard" sheetId="5" r:id="rId3"/>
    <sheet name="Coefficients" sheetId="6" r:id="rId4"/>
    <sheet name="Calculations" sheetId="4" r:id="rId5"/>
  </sheets>
  <definedNames>
    <definedName name="ExternalData_1" localSheetId="3" hidden="1">Coefficients!$A$1:$D$25</definedName>
    <definedName name="_xlnm.Print_Area" localSheetId="1">Input!$A$1:$B$23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D2" i="5"/>
  <c r="B14" i="5"/>
  <c r="B16" i="5"/>
  <c r="B17" i="5"/>
  <c r="B20" i="5"/>
  <c r="B21" i="5"/>
  <c r="B22" i="5"/>
  <c r="D29" i="4"/>
  <c r="D30" i="4"/>
  <c r="B30" i="4"/>
  <c r="C30" i="4" s="1"/>
  <c r="E30" i="4" s="1"/>
  <c r="B29" i="4"/>
  <c r="C29" i="4" s="1"/>
  <c r="E29" i="4" s="1"/>
  <c r="D28" i="4"/>
  <c r="B28" i="4"/>
  <c r="C28" i="4" s="1"/>
  <c r="E28" i="4" s="1"/>
  <c r="D27" i="4"/>
  <c r="B27" i="4"/>
  <c r="C27" i="4" s="1"/>
  <c r="E27" i="4" s="1"/>
  <c r="B26" i="4"/>
  <c r="C26" i="4" s="1"/>
  <c r="D26" i="4"/>
  <c r="D25" i="4"/>
  <c r="B25" i="4"/>
  <c r="C25" i="4" s="1"/>
  <c r="D24" i="4"/>
  <c r="B24" i="4"/>
  <c r="C24" i="4" s="1"/>
  <c r="E24" i="4" s="1"/>
  <c r="D23" i="4"/>
  <c r="B23" i="4"/>
  <c r="C23" i="4" s="1"/>
  <c r="D20" i="4"/>
  <c r="D21" i="4"/>
  <c r="D22" i="4"/>
  <c r="B22" i="4"/>
  <c r="C22" i="4" s="1"/>
  <c r="E22" i="4" s="1"/>
  <c r="B21" i="4"/>
  <c r="C21" i="4" s="1"/>
  <c r="E21" i="4" s="1"/>
  <c r="B20" i="4"/>
  <c r="C20" i="4" s="1"/>
  <c r="E20" i="4" s="1"/>
  <c r="D16" i="4"/>
  <c r="D17" i="4"/>
  <c r="D18" i="4"/>
  <c r="D19" i="4"/>
  <c r="B17" i="4"/>
  <c r="C17" i="4" s="1"/>
  <c r="B18" i="4"/>
  <c r="C18" i="4" s="1"/>
  <c r="B19" i="4"/>
  <c r="C19" i="4" s="1"/>
  <c r="B16" i="4"/>
  <c r="C16" i="4" s="1"/>
  <c r="B15" i="4"/>
  <c r="C15" i="4" s="1"/>
  <c r="D13" i="4"/>
  <c r="D12" i="4"/>
  <c r="B12" i="4"/>
  <c r="C12" i="4" s="1"/>
  <c r="D15" i="4"/>
  <c r="D14" i="4"/>
  <c r="B14" i="4"/>
  <c r="C14" i="4" s="1"/>
  <c r="B13" i="4"/>
  <c r="C13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B1" i="4"/>
  <c r="C1" i="4" s="1"/>
  <c r="D1" i="4"/>
  <c r="D2" i="4"/>
  <c r="D3" i="4"/>
  <c r="D4" i="4"/>
  <c r="D5" i="4"/>
  <c r="D6" i="4"/>
  <c r="D7" i="4"/>
  <c r="D8" i="4"/>
  <c r="D9" i="4"/>
  <c r="B10" i="4"/>
  <c r="C10" i="4" s="1"/>
  <c r="D10" i="4"/>
  <c r="C11" i="4"/>
  <c r="D11" i="4"/>
  <c r="E23" i="4" l="1"/>
  <c r="E25" i="4"/>
  <c r="E26" i="4"/>
  <c r="E16" i="4"/>
  <c r="E19" i="4"/>
  <c r="E18" i="4"/>
  <c r="E17" i="4"/>
  <c r="E11" i="4"/>
  <c r="E4" i="4"/>
  <c r="E10" i="4"/>
  <c r="E1" i="4"/>
  <c r="E6" i="4"/>
  <c r="E2" i="4"/>
  <c r="E3" i="4"/>
  <c r="E7" i="4"/>
  <c r="E12" i="4"/>
  <c r="E15" i="4"/>
  <c r="E14" i="4"/>
  <c r="E13" i="4"/>
  <c r="E9" i="4"/>
  <c r="E8" i="4"/>
  <c r="E5" i="4"/>
  <c r="G2" i="4" l="1"/>
  <c r="G5" i="4" s="1"/>
  <c r="G8" i="4" s="1"/>
  <c r="G11" i="4" s="1"/>
  <c r="B5" i="5" l="1"/>
  <c r="B7" i="5" s="1"/>
  <c r="B6" i="5"/>
  <c r="B1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CD9A3-FB1B-4931-85FB-AED853B40E5F}" keepAlive="1" name="Query - loan_default_coefficients_complete" description="Connection to the 'loan_default_coefficients_complete' query in the workbook." type="5" refreshedVersion="8" background="1" saveData="1">
    <dbPr connection="Provider=Microsoft.Mashup.OleDb.1;Data Source=$Workbook$;Location=loan_default_coefficients_complete;Extended Properties=&quot;&quot;" command="SELECT * FROM [loan_default_coefficients_complete]"/>
  </connection>
</connections>
</file>

<file path=xl/sharedStrings.xml><?xml version="1.0" encoding="utf-8"?>
<sst xmlns="http://schemas.openxmlformats.org/spreadsheetml/2006/main" count="180" uniqueCount="105">
  <si>
    <t>LOAN APPLICATION INPUT</t>
  </si>
  <si>
    <t>Personal Information</t>
  </si>
  <si>
    <t>Age</t>
  </si>
  <si>
    <t>Annual Income</t>
  </si>
  <si>
    <t>Months Employed</t>
  </si>
  <si>
    <t>Education Level</t>
  </si>
  <si>
    <t>Bachelor's</t>
  </si>
  <si>
    <t>Employment Type</t>
  </si>
  <si>
    <t>Full-Time</t>
  </si>
  <si>
    <t>Marital Status</t>
  </si>
  <si>
    <t>Married</t>
  </si>
  <si>
    <t>Has Dependents</t>
  </si>
  <si>
    <t>Yes</t>
  </si>
  <si>
    <t>Loan Details</t>
  </si>
  <si>
    <t>Loan Amount</t>
  </si>
  <si>
    <t>Interest Rate (%)</t>
  </si>
  <si>
    <t>Loan Term (months)</t>
  </si>
  <si>
    <t>Loan Purpose</t>
  </si>
  <si>
    <t>Auto</t>
  </si>
  <si>
    <t>Financial Information</t>
  </si>
  <si>
    <t>Credit Score</t>
  </si>
  <si>
    <t>DTI Ratio (%)</t>
  </si>
  <si>
    <t>Number of Credit Lines</t>
  </si>
  <si>
    <t>Has Mortgage</t>
  </si>
  <si>
    <t>Has Co-Signer</t>
  </si>
  <si>
    <t>LOAN DEFAULT RISK ASSESSMENT</t>
  </si>
  <si>
    <t>Applicant:</t>
  </si>
  <si>
    <t>Date:</t>
  </si>
  <si>
    <t>PREDICTION RESULTS</t>
  </si>
  <si>
    <t>Default Probability</t>
  </si>
  <si>
    <t>Risk Classification</t>
  </si>
  <si>
    <t>Confidence Level</t>
  </si>
  <si>
    <t>RECOMMENDATION</t>
  </si>
  <si>
    <t>Decision</t>
  </si>
  <si>
    <t>DETAILED RISK ANALYSIS</t>
  </si>
  <si>
    <t>Primary Risk Factors</t>
  </si>
  <si>
    <t>DTI Ratio</t>
  </si>
  <si>
    <t>Employment History</t>
  </si>
  <si>
    <t>Loan-to-Income</t>
  </si>
  <si>
    <t>RISK MITIGATION FACTORS</t>
  </si>
  <si>
    <t>Co-Signer</t>
  </si>
  <si>
    <t>Collateral</t>
  </si>
  <si>
    <t>Variables</t>
  </si>
  <si>
    <t>Coefficients</t>
  </si>
  <si>
    <t>VariableTypes</t>
  </si>
  <si>
    <t>Notes</t>
  </si>
  <si>
    <t>(Intercept)</t>
  </si>
  <si>
    <t>Intercept</t>
  </si>
  <si>
    <t/>
  </si>
  <si>
    <t>Numeric</t>
  </si>
  <si>
    <t>CreditScore</t>
  </si>
  <si>
    <t>MonthsEmployed</t>
  </si>
  <si>
    <t>NumCreditLines</t>
  </si>
  <si>
    <t>InterestRate</t>
  </si>
  <si>
    <t>LoanTerm</t>
  </si>
  <si>
    <t>DTIRatio</t>
  </si>
  <si>
    <t>EducationHigh School</t>
  </si>
  <si>
    <t>Categorical_Dummy</t>
  </si>
  <si>
    <t>Reference category for Education: Bachelor's</t>
  </si>
  <si>
    <t>EducationMaster's</t>
  </si>
  <si>
    <t>EducationPhD</t>
  </si>
  <si>
    <t>EmploymentTypePart-Time</t>
  </si>
  <si>
    <t>Reference category for EmploymentType: Full-time</t>
  </si>
  <si>
    <t>EmploymentTypeSelf-Employed</t>
  </si>
  <si>
    <t>EmploymentTypeUnemployed</t>
  </si>
  <si>
    <t>MaritalStatusMarried</t>
  </si>
  <si>
    <t>Reference category for MaritalStatus: Divorced</t>
  </si>
  <si>
    <t>MaritalStatusSingle</t>
  </si>
  <si>
    <t>HasMortgageYes</t>
  </si>
  <si>
    <t>HasDependentsYes</t>
  </si>
  <si>
    <t>LoanPurposeBusiness</t>
  </si>
  <si>
    <t>Reference category for LoanPurpose: Auto</t>
  </si>
  <si>
    <t>LoanPurposeEducation</t>
  </si>
  <si>
    <t>LoanPurposeHome</t>
  </si>
  <si>
    <t>LoanPurposeOther</t>
  </si>
  <si>
    <t>HasCoSignerYes</t>
  </si>
  <si>
    <t>LoanToIncome</t>
  </si>
  <si>
    <t>Linear Combination</t>
  </si>
  <si>
    <t>Drop Down List Options (Input Page)</t>
  </si>
  <si>
    <t>Income</t>
  </si>
  <si>
    <t>High School</t>
  </si>
  <si>
    <t>LoanAmount</t>
  </si>
  <si>
    <t>Master's</t>
  </si>
  <si>
    <t>PhD</t>
  </si>
  <si>
    <t>Unemployed</t>
  </si>
  <si>
    <t>Default Probability (%)</t>
  </si>
  <si>
    <t>Part-Time</t>
  </si>
  <si>
    <t>Self-Employed</t>
  </si>
  <si>
    <t>Risk Level</t>
  </si>
  <si>
    <t>Single</t>
  </si>
  <si>
    <t>Divorced</t>
  </si>
  <si>
    <t>EducationBachelor's</t>
  </si>
  <si>
    <t>No</t>
  </si>
  <si>
    <t>EmploymentTypeFull-Time</t>
  </si>
  <si>
    <t>MaritalStatusDivorced</t>
  </si>
  <si>
    <t>LoanPurposeAuto</t>
  </si>
  <si>
    <t>LOAN DEFAULT RISK  |  PROJECT OVERVIEW</t>
  </si>
  <si>
    <t>This capstone turns a public loan default dataset into an Excel demonstration of credit risk assessment. After checking the data with SQL, a logistic regression model was fitted in R and its coefficients were brought into this workbook. Enter an applicant profile to see an estimated default probability, a risk category, and a decision prompt with supporting indicators.</t>
  </si>
  <si>
    <t>HOW TO USE THE WORKBOOK</t>
  </si>
  <si>
    <t>1  Enter the applicant details on Input.  2  Review the probability, classification, decision, and risk indicators on Results Dashboard.  3  Coefficients and Calculations contain the model inputs and scoring logic.</t>
  </si>
  <si>
    <t>WHAT THE MODEL DOES</t>
  </si>
  <si>
    <t>The workbook combines demographic, employment, loan, and financial fields—including credit score—using logistic regression coefficients. The score is translated into an estimated probability of default. The dashboard displays risk tiers below 5%, 5% to below 15%, 15% to below 25%, and 25% or higher; these cutoffs are demonstration choices, not validated lending policy.</t>
  </si>
  <si>
    <t>IMPORTANT CONTEXT</t>
  </si>
  <si>
    <t>METHOD  ·  SQL data checks  →  R logistic regression  →  Excel input, score, and dashboard</t>
  </si>
  <si>
    <t>This is an academic analytics portfolio project using the public Loan Default dataset. The notes report similar default rates in the training and test samples; they do not establish that the model is accurate or suitable for real borrowers. Do not use this workbook to approve, deny, or price real loans.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</si>
</sst>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243447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gradientFill degree="270">
        <stop position="0">
          <color theme="0"/>
        </stop>
        <stop position="1">
          <color theme="9" tint="0.80001220740379042"/>
        </stop>
      </gradientFill>
    </fill>
    <fill>
      <gradientFill degree="180">
        <stop position="0">
          <color theme="0"/>
        </stop>
        <stop position="1">
          <color theme="3" tint="0.89803765984069339"/>
        </stop>
      </gradient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7324D"/>
      </patternFill>
    </fill>
    <fill>
      <patternFill patternType="solid">
        <fgColor rgb="FF237B82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0" fillId="0" borderId="0" xfId="0" applyAlignment="1">
      <alignment vertical="center" wrapText="1"/>
    </xf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4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6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9" fontId="0" fillId="0" borderId="5" xfId="2" applyFont="1" applyBorder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5" fillId="5" borderId="7" xfId="3" applyFont="1" applyFill="1" applyBorder="1" applyAlignment="1"/>
    <xf numFmtId="0" fontId="6" fillId="7" borderId="7" xfId="3" applyFont="1" applyFill="1" applyBorder="1" applyAlignment="1">
      <alignment vertical="center" wrapText="1"/>
    </xf>
    <xf numFmtId="0" fontId="6" fillId="5" borderId="7" xfId="3" applyFont="1" applyFill="1" applyBorder="1" applyAlignment="1">
      <alignment vertical="center" wrapText="1"/>
    </xf>
    <xf numFmtId="0" fontId="2" fillId="10" borderId="7" xfId="3" applyFont="1" applyFill="1" applyBorder="1" applyAlignment="1">
      <alignment vertical="center"/>
    </xf>
    <xf numFmtId="0" fontId="5" fillId="5" borderId="0" xfId="3" applyFont="1" applyFill="1" applyBorder="1" applyAlignment="1"/>
    <xf numFmtId="0" fontId="9" fillId="0" borderId="0" xfId="0" applyFont="1" applyAlignment="1">
      <alignment vertical="center" wrapText="1"/>
    </xf>
    <xf numFmtId="0" fontId="1" fillId="5" borderId="7" xfId="3" applyFont="1" applyFill="1" applyBorder="1" applyAlignment="1">
      <alignment vertical="center" wrapText="1"/>
    </xf>
    <xf numFmtId="0" fontId="10" fillId="6" borderId="7" xfId="3" applyFont="1" applyFill="1" applyBorder="1" applyAlignment="1">
      <alignment vertical="center"/>
    </xf>
    <xf numFmtId="0" fontId="11" fillId="9" borderId="8" xfId="0" applyFont="1" applyFill="1" applyBorder="1" applyAlignment="1">
      <alignment vertical="center"/>
    </xf>
    <xf numFmtId="0" fontId="12" fillId="6" borderId="9" xfId="3" applyFont="1" applyFill="1" applyBorder="1" applyAlignment="1">
      <alignment vertical="center"/>
    </xf>
    <xf numFmtId="0" fontId="12" fillId="6" borderId="10" xfId="3" applyFont="1" applyFill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EDCAD6-03BD-4151-8FFE-98E80BE138DB}" autoFormatId="16" applyNumberFormats="0" applyBorderFormats="0" applyFontFormats="0" applyPatternFormats="0" applyAlignmentFormats="0" applyWidthHeightFormats="0">
  <queryTableRefresh nextId="5">
    <queryTableFields count="4">
      <queryTableField id="1" name="Variable" tableColumnId="1"/>
      <queryTableField id="2" name="Coefficient" tableColumnId="2"/>
      <queryTableField id="3" name="Variable_Type" tableColumnId="3"/>
      <queryTableField id="4" name="No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E2E38-C852-4454-9511-0694EE1C2AEA}" name="loan_default_coefficients_complete" displayName="loan_default_coefficients_complete" ref="A1:D25" tableType="queryTable" totalsRowShown="0">
  <autoFilter ref="A1:D25" xr:uid="{089E2E38-C852-4454-9511-0694EE1C2AEA}"/>
  <tableColumns count="4">
    <tableColumn id="1" xr3:uid="{DCF5C783-5A47-4DC6-BE55-FCCA3A1DBB91}" uniqueName="1" name="Variables" queryTableFieldId="1" dataDxfId="2"/>
    <tableColumn id="2" xr3:uid="{FA9C293A-07CA-41D6-9E9D-C39C851C6404}" uniqueName="2" name="Coefficients" queryTableFieldId="2"/>
    <tableColumn id="3" xr3:uid="{0DE047A5-6F8C-4C89-993D-F9665E96F3CA}" uniqueName="3" name="VariableTypes" queryTableFieldId="3" dataDxfId="1"/>
    <tableColumn id="4" xr3:uid="{9B514D6F-F2B2-4BA1-AC78-8C72E59E3172}" uniqueName="4" name="Not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D209-D70D-4CBE-AAC4-799F56E1629B}">
  <dimension ref="A1:H25"/>
  <sheetViews>
    <sheetView tabSelected="1" workbookViewId="0">
      <selection sqref="A1:H2"/>
    </sheetView>
  </sheetViews>
  <sheetFormatPr defaultRowHeight="15" x14ac:dyDescent="0.25"/>
  <cols>
    <col min="1" max="1" width="29.28515625" customWidth="1"/>
  </cols>
  <sheetData>
    <row r="1" spans="1:8" x14ac:dyDescent="0.25">
      <c r="A1" s="20" t="s">
        <v>96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ht="15.75" thickBot="1" x14ac:dyDescent="0.3">
      <c r="A3" s="21"/>
      <c r="B3" s="21"/>
      <c r="C3" s="21"/>
      <c r="D3" s="21"/>
      <c r="E3" s="21"/>
      <c r="F3" s="21"/>
      <c r="G3" s="21"/>
      <c r="H3" s="21"/>
    </row>
    <row r="4" spans="1:8" ht="15.75" thickTop="1" x14ac:dyDescent="0.25">
      <c r="A4" s="26" t="s">
        <v>97</v>
      </c>
      <c r="B4" s="26"/>
      <c r="C4" s="26"/>
      <c r="D4" s="26"/>
      <c r="E4" s="26"/>
      <c r="F4" s="26"/>
      <c r="G4" s="26"/>
      <c r="H4" s="26"/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ht="45" customHeight="1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5"/>
      <c r="B7" s="25"/>
      <c r="C7" s="25"/>
      <c r="D7" s="25"/>
      <c r="E7" s="25"/>
      <c r="F7" s="25"/>
      <c r="G7" s="25"/>
      <c r="H7" s="25"/>
    </row>
    <row r="8" spans="1:8" ht="42.75" customHeight="1" x14ac:dyDescent="0.25">
      <c r="A8" s="29" t="s">
        <v>98</v>
      </c>
      <c r="B8" s="30"/>
      <c r="C8" s="30"/>
      <c r="D8" s="30"/>
      <c r="E8" s="30"/>
      <c r="F8" s="30"/>
      <c r="G8" s="30"/>
      <c r="H8" s="31"/>
    </row>
    <row r="9" spans="1:8" ht="15.75" thickBot="1" x14ac:dyDescent="0.3">
      <c r="A9" s="27" t="s">
        <v>99</v>
      </c>
      <c r="B9" s="27"/>
      <c r="C9" s="27"/>
      <c r="D9" s="27"/>
      <c r="E9" s="27"/>
      <c r="F9" s="27"/>
      <c r="G9" s="27"/>
      <c r="H9" s="27"/>
    </row>
    <row r="10" spans="1:8" ht="48.75" customHeight="1" thickTop="1" thickBot="1" x14ac:dyDescent="0.3">
      <c r="A10" s="27"/>
      <c r="B10" s="27"/>
      <c r="C10" s="27"/>
      <c r="D10" s="27"/>
      <c r="E10" s="27"/>
      <c r="F10" s="27"/>
      <c r="G10" s="27"/>
      <c r="H10" s="27"/>
    </row>
    <row r="11" spans="1:8" ht="16.5" thickTop="1" thickBot="1" x14ac:dyDescent="0.3">
      <c r="A11" s="21"/>
      <c r="B11" s="21"/>
      <c r="C11" s="21"/>
      <c r="D11" s="21"/>
      <c r="E11" s="21"/>
      <c r="F11" s="21"/>
      <c r="G11" s="21"/>
      <c r="H11" s="21"/>
    </row>
    <row r="12" spans="1:8" ht="16.5" thickTop="1" thickBot="1" x14ac:dyDescent="0.3">
      <c r="A12" s="28" t="s">
        <v>100</v>
      </c>
      <c r="B12" s="28"/>
      <c r="C12" s="28"/>
      <c r="D12" s="28"/>
      <c r="E12" s="28"/>
      <c r="F12" s="28"/>
      <c r="G12" s="28"/>
      <c r="H12" s="28"/>
    </row>
    <row r="13" spans="1:8" ht="16.5" thickTop="1" thickBot="1" x14ac:dyDescent="0.3">
      <c r="A13" s="27" t="s">
        <v>101</v>
      </c>
      <c r="B13" s="27"/>
      <c r="C13" s="27"/>
      <c r="D13" s="27"/>
      <c r="E13" s="27"/>
      <c r="F13" s="27"/>
      <c r="G13" s="27"/>
      <c r="H13" s="27"/>
    </row>
    <row r="14" spans="1:8" ht="16.5" thickTop="1" thickBot="1" x14ac:dyDescent="0.3">
      <c r="A14" s="27"/>
      <c r="B14" s="27"/>
      <c r="C14" s="27"/>
      <c r="D14" s="27"/>
      <c r="E14" s="27"/>
      <c r="F14" s="27"/>
      <c r="G14" s="27"/>
      <c r="H14" s="27"/>
    </row>
    <row r="15" spans="1:8" ht="45.75" customHeight="1" thickTop="1" thickBot="1" x14ac:dyDescent="0.3">
      <c r="A15" s="27"/>
      <c r="B15" s="27"/>
      <c r="C15" s="27"/>
      <c r="D15" s="27"/>
      <c r="E15" s="27"/>
      <c r="F15" s="27"/>
      <c r="G15" s="27"/>
      <c r="H15" s="27"/>
    </row>
    <row r="16" spans="1:8" ht="16.5" thickTop="1" thickBot="1" x14ac:dyDescent="0.3">
      <c r="A16" s="21"/>
      <c r="B16" s="21"/>
      <c r="C16" s="21"/>
      <c r="D16" s="21"/>
      <c r="E16" s="21"/>
      <c r="F16" s="21"/>
      <c r="G16" s="21"/>
      <c r="H16" s="21"/>
    </row>
    <row r="17" spans="1:8" ht="16.5" thickTop="1" thickBot="1" x14ac:dyDescent="0.3">
      <c r="A17" s="24" t="s">
        <v>102</v>
      </c>
      <c r="B17" s="24"/>
      <c r="C17" s="24"/>
      <c r="D17" s="24"/>
      <c r="E17" s="24"/>
      <c r="F17" s="24"/>
      <c r="G17" s="24"/>
      <c r="H17" s="24"/>
    </row>
    <row r="18" spans="1:8" ht="16.5" thickTop="1" thickBot="1" x14ac:dyDescent="0.3">
      <c r="A18" s="27" t="s">
        <v>104</v>
      </c>
      <c r="B18" s="27"/>
      <c r="C18" s="27"/>
      <c r="D18" s="27"/>
      <c r="E18" s="27"/>
      <c r="F18" s="27"/>
      <c r="G18" s="27"/>
      <c r="H18" s="27"/>
    </row>
    <row r="19" spans="1:8" ht="16.5" thickTop="1" thickBot="1" x14ac:dyDescent="0.3">
      <c r="A19" s="27"/>
      <c r="B19" s="27"/>
      <c r="C19" s="27"/>
      <c r="D19" s="27"/>
      <c r="E19" s="27"/>
      <c r="F19" s="27"/>
      <c r="G19" s="27"/>
      <c r="H19" s="27"/>
    </row>
    <row r="20" spans="1:8" ht="16.5" thickTop="1" thickBot="1" x14ac:dyDescent="0.3">
      <c r="A20" s="27"/>
      <c r="B20" s="27"/>
      <c r="C20" s="27"/>
      <c r="D20" s="27"/>
      <c r="E20" s="27"/>
      <c r="F20" s="27"/>
      <c r="G20" s="27"/>
      <c r="H20" s="27"/>
    </row>
    <row r="21" spans="1:8" ht="24.75" customHeight="1" thickTop="1" thickBot="1" x14ac:dyDescent="0.3">
      <c r="A21" s="27"/>
      <c r="B21" s="27"/>
      <c r="C21" s="27"/>
      <c r="D21" s="27"/>
      <c r="E21" s="27"/>
      <c r="F21" s="27"/>
      <c r="G21" s="27"/>
      <c r="H21" s="27"/>
    </row>
    <row r="22" spans="1:8" ht="16.5" thickTop="1" thickBot="1" x14ac:dyDescent="0.3">
      <c r="A22" s="21"/>
      <c r="B22" s="21"/>
      <c r="C22" s="21"/>
      <c r="D22" s="21"/>
      <c r="E22" s="21"/>
      <c r="F22" s="21"/>
      <c r="G22" s="21"/>
      <c r="H22" s="21"/>
    </row>
    <row r="23" spans="1:8" ht="16.5" thickTop="1" thickBot="1" x14ac:dyDescent="0.3">
      <c r="A23" s="22" t="s">
        <v>103</v>
      </c>
      <c r="B23" s="22"/>
      <c r="C23" s="22"/>
      <c r="D23" s="22"/>
      <c r="E23" s="22"/>
      <c r="F23" s="22"/>
      <c r="G23" s="22"/>
      <c r="H23" s="22"/>
    </row>
    <row r="24" spans="1:8" ht="26.25" customHeight="1" thickTop="1" thickBo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5.75" thickTop="1" x14ac:dyDescent="0.25"/>
  </sheetData>
  <mergeCells count="9">
    <mergeCell ref="A13:H15"/>
    <mergeCell ref="A17:H17"/>
    <mergeCell ref="A18:H21"/>
    <mergeCell ref="A23:H24"/>
    <mergeCell ref="A1:H2"/>
    <mergeCell ref="A4:H6"/>
    <mergeCell ref="A8:H8"/>
    <mergeCell ref="A9:H10"/>
    <mergeCell ref="A12:H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2455-274E-4DB4-AEF8-FC8BFBAC70A1}">
  <sheetPr>
    <pageSetUpPr fitToPage="1"/>
  </sheetPr>
  <dimension ref="A1:C23"/>
  <sheetViews>
    <sheetView showGridLines="0" zoomScale="220" zoomScaleNormal="220" zoomScaleSheetLayoutView="230" workbookViewId="0">
      <selection activeCell="F19" sqref="F19"/>
    </sheetView>
  </sheetViews>
  <sheetFormatPr defaultRowHeight="15" x14ac:dyDescent="0.25"/>
  <cols>
    <col min="1" max="1" width="22.140625" customWidth="1"/>
    <col min="2" max="2" width="14.85546875" customWidth="1"/>
    <col min="5" max="5" width="8.85546875" customWidth="1"/>
    <col min="6" max="6" width="16.140625" customWidth="1"/>
    <col min="7" max="7" width="11.85546875" customWidth="1"/>
    <col min="8" max="8" width="9.140625" customWidth="1"/>
    <col min="12" max="12" width="6.140625" customWidth="1"/>
    <col min="13" max="13" width="5.28515625" customWidth="1"/>
  </cols>
  <sheetData>
    <row r="1" spans="1:3" ht="21" customHeight="1" x14ac:dyDescent="0.25">
      <c r="A1" s="10" t="s">
        <v>0</v>
      </c>
      <c r="B1" s="10"/>
      <c r="C1" s="3"/>
    </row>
    <row r="2" spans="1:3" ht="13.5" customHeight="1" x14ac:dyDescent="0.25">
      <c r="A2" s="12"/>
      <c r="B2" s="12"/>
      <c r="C2" s="3"/>
    </row>
    <row r="3" spans="1:3" ht="18.75" x14ac:dyDescent="0.25">
      <c r="A3" s="11" t="s">
        <v>1</v>
      </c>
      <c r="B3" s="11"/>
      <c r="C3" s="3"/>
    </row>
    <row r="4" spans="1:3" x14ac:dyDescent="0.25">
      <c r="A4" s="9" t="s">
        <v>2</v>
      </c>
      <c r="B4" s="6">
        <v>45</v>
      </c>
      <c r="C4" s="3"/>
    </row>
    <row r="5" spans="1:3" x14ac:dyDescent="0.25">
      <c r="A5" s="9" t="s">
        <v>3</v>
      </c>
      <c r="B5" s="7">
        <v>95000</v>
      </c>
      <c r="C5" s="3"/>
    </row>
    <row r="6" spans="1:3" ht="16.5" customHeight="1" x14ac:dyDescent="0.25">
      <c r="A6" s="9" t="s">
        <v>4</v>
      </c>
      <c r="B6" s="6">
        <v>48</v>
      </c>
      <c r="C6" s="3"/>
    </row>
    <row r="7" spans="1:3" x14ac:dyDescent="0.25">
      <c r="A7" s="9" t="s">
        <v>5</v>
      </c>
      <c r="B7" s="6" t="s">
        <v>6</v>
      </c>
      <c r="C7" s="3"/>
    </row>
    <row r="8" spans="1:3" x14ac:dyDescent="0.25">
      <c r="A8" s="9" t="s">
        <v>7</v>
      </c>
      <c r="B8" s="6" t="s">
        <v>8</v>
      </c>
      <c r="C8" s="3"/>
    </row>
    <row r="9" spans="1:3" x14ac:dyDescent="0.25">
      <c r="A9" s="9" t="s">
        <v>9</v>
      </c>
      <c r="B9" s="6" t="s">
        <v>90</v>
      </c>
      <c r="C9" s="3"/>
    </row>
    <row r="10" spans="1:3" x14ac:dyDescent="0.25">
      <c r="A10" s="9" t="s">
        <v>11</v>
      </c>
      <c r="B10" s="6" t="s">
        <v>12</v>
      </c>
      <c r="C10" s="3"/>
    </row>
    <row r="11" spans="1:3" ht="12" customHeight="1" x14ac:dyDescent="0.25">
      <c r="A11" s="12"/>
      <c r="B11" s="12"/>
      <c r="C11" s="3"/>
    </row>
    <row r="12" spans="1:3" ht="18.75" x14ac:dyDescent="0.25">
      <c r="A12" s="11" t="s">
        <v>13</v>
      </c>
      <c r="B12" s="11"/>
      <c r="C12" s="3"/>
    </row>
    <row r="13" spans="1:3" x14ac:dyDescent="0.25">
      <c r="A13" s="9" t="s">
        <v>14</v>
      </c>
      <c r="B13" s="5">
        <v>85000</v>
      </c>
      <c r="C13" s="3"/>
    </row>
    <row r="14" spans="1:3" x14ac:dyDescent="0.25">
      <c r="A14" s="9" t="s">
        <v>15</v>
      </c>
      <c r="B14" s="6">
        <v>15</v>
      </c>
      <c r="C14" s="3"/>
    </row>
    <row r="15" spans="1:3" ht="16.5" customHeight="1" x14ac:dyDescent="0.25">
      <c r="A15" s="9" t="s">
        <v>16</v>
      </c>
      <c r="B15" s="6">
        <v>36</v>
      </c>
      <c r="C15" s="3"/>
    </row>
    <row r="16" spans="1:3" x14ac:dyDescent="0.25">
      <c r="A16" s="9" t="s">
        <v>17</v>
      </c>
      <c r="B16" s="6" t="s">
        <v>18</v>
      </c>
      <c r="C16" s="3"/>
    </row>
    <row r="17" spans="1:3" ht="14.25" customHeight="1" x14ac:dyDescent="0.25">
      <c r="A17" s="12"/>
      <c r="B17" s="12"/>
      <c r="C17" s="3"/>
    </row>
    <row r="18" spans="1:3" ht="18.75" x14ac:dyDescent="0.25">
      <c r="A18" s="11" t="s">
        <v>19</v>
      </c>
      <c r="B18" s="11"/>
      <c r="C18" s="3"/>
    </row>
    <row r="19" spans="1:3" x14ac:dyDescent="0.25">
      <c r="A19" s="9" t="s">
        <v>20</v>
      </c>
      <c r="B19" s="6">
        <v>750</v>
      </c>
      <c r="C19" s="3"/>
    </row>
    <row r="20" spans="1:3" x14ac:dyDescent="0.25">
      <c r="A20" s="9" t="s">
        <v>21</v>
      </c>
      <c r="B20" s="8">
        <v>0.6</v>
      </c>
      <c r="C20" s="3"/>
    </row>
    <row r="21" spans="1:3" ht="17.25" customHeight="1" x14ac:dyDescent="0.25">
      <c r="A21" s="9" t="s">
        <v>22</v>
      </c>
      <c r="B21" s="6">
        <v>6</v>
      </c>
      <c r="C21" s="3"/>
    </row>
    <row r="22" spans="1:3" x14ac:dyDescent="0.25">
      <c r="A22" s="9" t="s">
        <v>23</v>
      </c>
      <c r="B22" s="6" t="s">
        <v>12</v>
      </c>
      <c r="C22" s="3"/>
    </row>
    <row r="23" spans="1:3" x14ac:dyDescent="0.25">
      <c r="A23" s="9" t="s">
        <v>24</v>
      </c>
      <c r="B23" s="6" t="s">
        <v>12</v>
      </c>
      <c r="C23" s="3"/>
    </row>
  </sheetData>
  <sheetProtection sheet="1" objects="1" scenarios="1"/>
  <protectedRanges>
    <protectedRange sqref="B4:B10" name="Range1"/>
    <protectedRange sqref="B13:B16" name="Range2"/>
    <protectedRange sqref="B19:B23" name="Range3"/>
  </protectedRanges>
  <mergeCells count="7">
    <mergeCell ref="A1:B1"/>
    <mergeCell ref="A3:B3"/>
    <mergeCell ref="A12:B12"/>
    <mergeCell ref="A18:B18"/>
    <mergeCell ref="A2:B2"/>
    <mergeCell ref="A11:B11"/>
    <mergeCell ref="A17:B17"/>
  </mergeCells>
  <dataValidations count="8">
    <dataValidation type="whole" allowBlank="1" showInputMessage="1" showErrorMessage="1" errorTitle="Error" error="Must be a whole number between 18 and 120" sqref="B4" xr:uid="{FE6D4940-AADA-4FDC-993C-CAEBA65E71D9}">
      <formula1>18</formula1>
      <formula2>120</formula2>
    </dataValidation>
    <dataValidation type="whole" allowBlank="1" showInputMessage="1" showErrorMessage="1" errorTitle="Error" error="Must be a Whole Number. Round Decimal to Nearest Dollar. Do Not Add a Dollar Sign ($)" sqref="B5" xr:uid="{F940A544-3E88-4DCE-B6E2-F4CC9DF34FB5}">
      <formula1>0</formula1>
      <formula2>10000000</formula2>
    </dataValidation>
    <dataValidation type="whole" showInputMessage="1" showErrorMessage="1" errorTitle="Error" error="Insert # Months between 0 and 600" sqref="B6" xr:uid="{C996C760-13B1-47DB-BEFA-BA83A0C312B8}">
      <formula1>0</formula1>
      <formula2>600</formula2>
    </dataValidation>
    <dataValidation type="whole" allowBlank="1" showInputMessage="1" showErrorMessage="1" errorTitle="Error" error="Use Only Whole Numbers Between 0 and 250,000" sqref="B13" xr:uid="{65EAEE54-BC47-4E50-89A7-E009C7E7F8CD}">
      <formula1>0</formula1>
      <formula2>250000</formula2>
    </dataValidation>
    <dataValidation type="whole" operator="equal" allowBlank="1" showInputMessage="1" showErrorMessage="1" errorTitle="Error" error="All Dealer Loans Are Set at 15% Interest" sqref="B14" xr:uid="{BF55BAAB-85A4-4ECA-8D32-31ED037094E0}">
      <formula1>15</formula1>
    </dataValidation>
    <dataValidation type="whole" allowBlank="1" showInputMessage="1" showErrorMessage="1" errorTitle="Error" error="Enter a Whole Number Between 300 and 850" sqref="B19" xr:uid="{226CBC6D-54E2-4D3B-A9F2-B58389FF1E32}">
      <formula1>300</formula1>
      <formula2>850</formula2>
    </dataValidation>
    <dataValidation type="decimal" allowBlank="1" showInputMessage="1" showErrorMessage="1" errorTitle="Error" error="Enter a Decimal Between 0 and 1. Any DTI Above 1 is Automatically Denied" sqref="B20" xr:uid="{B0960F19-24EA-4358-8455-D675C75E528D}">
      <formula1>0</formula1>
      <formula2>1</formula2>
    </dataValidation>
    <dataValidation type="whole" allowBlank="1" showInputMessage="1" showErrorMessage="1" sqref="B21" xr:uid="{81DCAD88-C526-4A74-BAEE-A81DD30DFC06}">
      <formula1>0</formula1>
      <formula2>20</formula2>
    </dataValidation>
  </dataValidations>
  <printOptions horizontalCentered="1" verticalCentered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Style="warning" allowBlank="1" showInputMessage="1" showErrorMessage="1" errorTitle="ERROR" error="Use Drop Down Menu to Select" xr:uid="{BED9E959-E94F-4BF7-AEB8-132CC6143901}">
          <x14:formula1>
            <xm:f>Calculations!$M$2:$M$5</xm:f>
          </x14:formula1>
          <xm:sqref>B7</xm:sqref>
        </x14:dataValidation>
        <x14:dataValidation type="list" allowBlank="1" showInputMessage="1" showErrorMessage="1" errorTitle="ERROR" error="Use Drop Down Menu. Select Cancel to Try Again" xr:uid="{0A5387E6-E728-4D8D-B330-378E5B766170}">
          <x14:formula1>
            <xm:f>Calculations!$M$6:$M$9</xm:f>
          </x14:formula1>
          <xm:sqref>B8</xm:sqref>
        </x14:dataValidation>
        <x14:dataValidation type="list" allowBlank="1" showInputMessage="1" showErrorMessage="1" errorTitle="Error" error="Use Drop Down Menu. Press Cancel to Try Again" xr:uid="{7A732132-3577-4543-BCE7-5120D6051EDF}">
          <x14:formula1>
            <xm:f>Calculations!$M$10:$M$12</xm:f>
          </x14:formula1>
          <xm:sqref>B9</xm:sqref>
        </x14:dataValidation>
        <x14:dataValidation type="list" allowBlank="1" showInputMessage="1" showErrorMessage="1" error="Use Drop Down Menu. Press Cancel to Try Again" xr:uid="{82293F16-A73F-4500-84A8-7C36C48F3926}">
          <x14:formula1>
            <xm:f>Calculations!$M$13:$M$14</xm:f>
          </x14:formula1>
          <xm:sqref>B10</xm:sqref>
        </x14:dataValidation>
        <x14:dataValidation type="list" allowBlank="1" showInputMessage="1" showErrorMessage="1" errorTitle="Error" error="Use Drop Down Menu. Press Cancel to Try Again" xr:uid="{8A0C6C29-882A-46D5-BA2F-F03AB5F4BFDF}">
          <x14:formula1>
            <xm:f>Calculations!$M$15</xm:f>
          </x14:formula1>
          <xm:sqref>B16</xm:sqref>
        </x14:dataValidation>
        <x14:dataValidation type="list" allowBlank="1" showInputMessage="1" showErrorMessage="1" errorTitle="Error" error="Use Drop Down Menu. Press Cancel to Try Again" xr:uid="{FE8046D0-39D9-4172-8164-7987F2C7DFC2}">
          <x14:formula1>
            <xm:f>Calculations!$M$13:$M$14</xm:f>
          </x14:formula1>
          <xm:sqref>B22:B23</xm:sqref>
        </x14:dataValidation>
        <x14:dataValidation type="list" allowBlank="1" showInputMessage="1" showErrorMessage="1" errorTitle="Error" error="Use Drop Down Menu. Press Cancel to Try Again" xr:uid="{FD774F8B-1B38-4EDA-B914-DF1B7F0AE5E9}">
          <x14:formula1>
            <xm:f>Calculations!$M$16:$M$22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DA89-9A8E-4A42-B9FB-A80EDBB5325A}">
  <dimension ref="A1:E22"/>
  <sheetViews>
    <sheetView showGridLines="0" topLeftCell="A3" zoomScale="180" zoomScaleNormal="180" workbookViewId="0">
      <selection activeCell="H10" sqref="H10"/>
    </sheetView>
  </sheetViews>
  <sheetFormatPr defaultRowHeight="15" x14ac:dyDescent="0.25"/>
  <cols>
    <col min="1" max="1" width="18.85546875" customWidth="1"/>
    <col min="2" max="2" width="21.42578125" bestFit="1" customWidth="1"/>
    <col min="3" max="3" width="5.85546875" bestFit="1" customWidth="1"/>
    <col min="4" max="4" width="9.5703125" bestFit="1" customWidth="1"/>
  </cols>
  <sheetData>
    <row r="1" spans="1:5" ht="30" customHeight="1" thickBot="1" x14ac:dyDescent="0.3">
      <c r="A1" s="15" t="s">
        <v>25</v>
      </c>
      <c r="B1" s="16"/>
      <c r="C1" s="16"/>
      <c r="D1" s="16"/>
      <c r="E1" s="17"/>
    </row>
    <row r="2" spans="1:5" x14ac:dyDescent="0.25">
      <c r="A2" s="3" t="s">
        <v>26</v>
      </c>
      <c r="B2" s="4"/>
      <c r="C2" s="3" t="s">
        <v>27</v>
      </c>
      <c r="D2" s="18">
        <f ca="1">TODAY()</f>
        <v>46308</v>
      </c>
      <c r="E2" s="18"/>
    </row>
    <row r="3" spans="1:5" x14ac:dyDescent="0.25">
      <c r="A3" s="13"/>
      <c r="B3" s="13"/>
      <c r="C3" s="13"/>
      <c r="D3" s="13"/>
      <c r="E3" s="13"/>
    </row>
    <row r="4" spans="1:5" ht="19.5" customHeight="1" x14ac:dyDescent="0.25">
      <c r="A4" s="11" t="s">
        <v>28</v>
      </c>
      <c r="B4" s="11"/>
      <c r="C4" s="11"/>
      <c r="D4" s="11"/>
      <c r="E4" s="11"/>
    </row>
    <row r="5" spans="1:5" x14ac:dyDescent="0.25">
      <c r="A5" s="9" t="s">
        <v>29</v>
      </c>
      <c r="B5" s="19">
        <f>Calculations!G8/100</f>
        <v>6.0849865222018844E-2</v>
      </c>
      <c r="C5" s="19"/>
      <c r="D5" s="19"/>
      <c r="E5" s="19"/>
    </row>
    <row r="6" spans="1:5" x14ac:dyDescent="0.25">
      <c r="A6" s="9" t="s">
        <v>30</v>
      </c>
      <c r="B6" s="12" t="str">
        <f>Calculations!G11</f>
        <v>MEDIUM</v>
      </c>
      <c r="C6" s="12"/>
      <c r="D6" s="12"/>
      <c r="E6" s="12"/>
    </row>
    <row r="7" spans="1:5" x14ac:dyDescent="0.25">
      <c r="A7" s="9" t="s">
        <v>31</v>
      </c>
      <c r="B7" s="12" t="str">
        <f>IF(B5&lt;0.05,"Very High",IF(B5&lt;0.15,"High",IF(B5&lt;0.25,"Medium","Low")))</f>
        <v>High</v>
      </c>
      <c r="C7" s="12"/>
      <c r="D7" s="12"/>
      <c r="E7" s="12"/>
    </row>
    <row r="8" spans="1:5" x14ac:dyDescent="0.25">
      <c r="A8" s="12"/>
      <c r="B8" s="12"/>
      <c r="C8" s="12"/>
      <c r="D8" s="12"/>
      <c r="E8" s="12"/>
    </row>
    <row r="9" spans="1:5" ht="19.5" customHeight="1" x14ac:dyDescent="0.25">
      <c r="A9" s="11" t="s">
        <v>32</v>
      </c>
      <c r="B9" s="11"/>
      <c r="C9" s="11"/>
      <c r="D9" s="11"/>
      <c r="E9" s="11"/>
    </row>
    <row r="10" spans="1:5" ht="30" customHeight="1" x14ac:dyDescent="0.25">
      <c r="A10" s="9" t="s">
        <v>33</v>
      </c>
      <c r="B10" s="12" t="str">
        <f>IF(B6="LOW","✅ APPROVE",IF(B6="MEDIUM","⚠️ MANUAL REVIEW",IF(B6="HIGH","⚠️ CONDITIONAL APPROVAL","❌ DECLINE")))</f>
        <v>⚠️ MANUAL REVIEW</v>
      </c>
      <c r="C10" s="12"/>
      <c r="D10" s="12"/>
      <c r="E10" s="12"/>
    </row>
    <row r="11" spans="1:5" x14ac:dyDescent="0.25">
      <c r="A11" s="12"/>
      <c r="B11" s="12"/>
      <c r="C11" s="12"/>
      <c r="D11" s="12"/>
      <c r="E11" s="12"/>
    </row>
    <row r="12" spans="1:5" ht="19.5" customHeight="1" x14ac:dyDescent="0.25">
      <c r="A12" s="11" t="s">
        <v>34</v>
      </c>
      <c r="B12" s="11"/>
      <c r="C12" s="11"/>
      <c r="D12" s="11"/>
      <c r="E12" s="11"/>
    </row>
    <row r="13" spans="1:5" ht="15" customHeight="1" x14ac:dyDescent="0.25">
      <c r="A13" s="14" t="s">
        <v>35</v>
      </c>
      <c r="B13" s="14"/>
      <c r="C13" s="14"/>
      <c r="D13" s="14"/>
      <c r="E13" s="14"/>
    </row>
    <row r="14" spans="1:5" x14ac:dyDescent="0.25">
      <c r="A14" s="9" t="s">
        <v>20</v>
      </c>
      <c r="B14" s="12" t="str">
        <f>IF(Input!B19&lt;600,"🔴 Very Poor ("&amp;Input!B19&amp;")",IF(Input!B19&lt;650,"🟡 Poor ("&amp;Input!B19&amp;")",IF(Input!B19&lt;700,"🟢 Fair ("&amp;Input!B19&amp;")","✅ Good ("&amp;Input!B19&amp;")")))</f>
        <v>✅ Good (750)</v>
      </c>
      <c r="C14" s="12"/>
      <c r="D14" s="12"/>
      <c r="E14" s="12"/>
    </row>
    <row r="15" spans="1:5" x14ac:dyDescent="0.25">
      <c r="A15" s="9" t="s">
        <v>36</v>
      </c>
      <c r="B15" s="12" t="str">
        <f>IF(Input!B20&gt;0.4,"🔴 Very High ("&amp;Input!B20&amp;"%)",IF(Input!B20&gt;0.35,"🟡 High ("&amp;Input!B20&amp;"%)",IF(Input!B20&gt;0.25,"🟢 Moderate ("&amp;Input!B20&amp;"%)","✅ Low ("&amp;Input!B20&amp;"%)")))</f>
        <v>🔴 Very High (0.6%)</v>
      </c>
      <c r="C15" s="12"/>
      <c r="D15" s="12"/>
      <c r="E15" s="12"/>
    </row>
    <row r="16" spans="1:5" ht="30" customHeight="1" x14ac:dyDescent="0.25">
      <c r="A16" s="9" t="s">
        <v>37</v>
      </c>
      <c r="B16" s="12" t="str">
        <f>IF(Input!B6&lt;6,"🔴 Very Short ("&amp;Input!B6&amp;" months)",IF(Input!B6&lt;12,"🟡 Short ("&amp;Input!B6&amp;" months)",IF(Input!B6&lt;24,"🟢 Moderate ("&amp;Input!B6&amp;" months)","✅ Stable ("&amp;Input!B6&amp;" months)")))</f>
        <v>✅ Stable (48 months)</v>
      </c>
      <c r="C16" s="12"/>
      <c r="D16" s="12"/>
      <c r="E16" s="12"/>
    </row>
    <row r="17" spans="1:5" x14ac:dyDescent="0.25">
      <c r="A17" s="9" t="s">
        <v>38</v>
      </c>
      <c r="B17" s="12" t="str">
        <f>IF((Input!B13/Input!B5)&gt;5,"🔴 Very High ("&amp;ROUND((Input!B13/Input!B5),2)&amp;")",IF((Input!B13/Input!B5)&gt;3,"🟡 High ("&amp;ROUND((Input!B13/Input!B5),2)&amp;")",IF((Input!B13/Input!B5)&gt;1.5,"🟢 Moderate ("&amp;ROUND((Input!B13/Input!B5),2)&amp;")","✅ Conservative ("&amp;ROUND((Input!B13/Input!B5),2)&amp;")")))</f>
        <v>✅ Conservative (0.89)</v>
      </c>
      <c r="C17" s="12"/>
      <c r="D17" s="12"/>
      <c r="E17" s="12"/>
    </row>
    <row r="18" spans="1:5" x14ac:dyDescent="0.25">
      <c r="A18" s="12"/>
      <c r="B18" s="12"/>
      <c r="C18" s="12"/>
      <c r="D18" s="12"/>
      <c r="E18" s="12"/>
    </row>
    <row r="19" spans="1:5" ht="19.5" customHeight="1" x14ac:dyDescent="0.25">
      <c r="A19" s="11" t="s">
        <v>39</v>
      </c>
      <c r="B19" s="11"/>
      <c r="C19" s="11"/>
      <c r="D19" s="11"/>
      <c r="E19" s="11"/>
    </row>
    <row r="20" spans="1:5" ht="30" customHeight="1" x14ac:dyDescent="0.25">
      <c r="A20" s="9" t="s">
        <v>40</v>
      </c>
      <c r="B20" s="12" t="str">
        <f>IF(Input!B23="Yes","✅ Has Co-Signer (Risk Reduced)","⚠️ No Co-Signer")</f>
        <v>✅ Has Co-Signer (Risk Reduced)</v>
      </c>
      <c r="C20" s="12"/>
      <c r="D20" s="12"/>
      <c r="E20" s="12"/>
    </row>
    <row r="21" spans="1:5" ht="30" customHeight="1" x14ac:dyDescent="0.25">
      <c r="A21" s="9" t="s">
        <v>41</v>
      </c>
      <c r="B21" s="12" t="str">
        <f>IF(Input!B22="Yes","✅ Has Mortgage (Asset Backing)","ℹ️ No Mortgage Listed")</f>
        <v>✅ Has Mortgage (Asset Backing)</v>
      </c>
      <c r="C21" s="12"/>
      <c r="D21" s="12"/>
      <c r="E21" s="12"/>
    </row>
    <row r="22" spans="1:5" x14ac:dyDescent="0.25">
      <c r="A22" s="9" t="s">
        <v>17</v>
      </c>
      <c r="B22" s="12" t="str">
        <f>IF(Input!B16="Auto","✅ Asset-Backed Loan",IF(Input!B16="Home","✅ Secured Loan","⚠️ Unsecured Purpose"))</f>
        <v>✅ Asset-Backed Loan</v>
      </c>
      <c r="C22" s="12"/>
      <c r="D22" s="12"/>
      <c r="E22" s="12"/>
    </row>
  </sheetData>
  <sheetProtection sheet="1" objects="1" scenarios="1"/>
  <mergeCells count="22">
    <mergeCell ref="A1:E1"/>
    <mergeCell ref="D2:E2"/>
    <mergeCell ref="A4:E4"/>
    <mergeCell ref="B5:E5"/>
    <mergeCell ref="B6:E6"/>
    <mergeCell ref="B21:E21"/>
    <mergeCell ref="B22:E22"/>
    <mergeCell ref="A13:E13"/>
    <mergeCell ref="A18:E18"/>
    <mergeCell ref="A9:E9"/>
    <mergeCell ref="B10:E10"/>
    <mergeCell ref="A12:E12"/>
    <mergeCell ref="B14:E14"/>
    <mergeCell ref="B15:E15"/>
    <mergeCell ref="B16:E16"/>
    <mergeCell ref="A11:E11"/>
    <mergeCell ref="A8:E8"/>
    <mergeCell ref="A3:E3"/>
    <mergeCell ref="B17:E17"/>
    <mergeCell ref="A19:E19"/>
    <mergeCell ref="B20:E20"/>
    <mergeCell ref="B7:E7"/>
  </mergeCells>
  <pageMargins left="0.7" right="0.7" top="0.75" bottom="0.75" header="0.3" footer="0.3"/>
  <pageSetup scale="9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596C-9AC4-4DD4-A2F3-53158020DF1E}">
  <dimension ref="A1:D25"/>
  <sheetViews>
    <sheetView workbookViewId="0">
      <selection activeCell="A20" sqref="A20"/>
    </sheetView>
  </sheetViews>
  <sheetFormatPr defaultRowHeight="15" x14ac:dyDescent="0.25"/>
  <cols>
    <col min="1" max="1" width="28.85546875" bestFit="1" customWidth="1"/>
    <col min="2" max="2" width="13.5703125" bestFit="1" customWidth="1"/>
    <col min="3" max="3" width="18.85546875" bestFit="1" customWidth="1"/>
    <col min="4" max="4" width="45.5703125" bestFit="1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45</v>
      </c>
    </row>
    <row r="2" spans="1:4" x14ac:dyDescent="0.25">
      <c r="A2" t="s">
        <v>46</v>
      </c>
      <c r="B2">
        <v>-1.11144393312958</v>
      </c>
      <c r="C2" t="s">
        <v>47</v>
      </c>
      <c r="D2" t="s">
        <v>48</v>
      </c>
    </row>
    <row r="3" spans="1:4" x14ac:dyDescent="0.25">
      <c r="A3" t="s">
        <v>2</v>
      </c>
      <c r="B3">
        <v>-3.9978376111004001E-2</v>
      </c>
      <c r="C3" t="s">
        <v>49</v>
      </c>
      <c r="D3" t="s">
        <v>48</v>
      </c>
    </row>
    <row r="4" spans="1:4" x14ac:dyDescent="0.25">
      <c r="A4" t="s">
        <v>50</v>
      </c>
      <c r="B4">
        <v>-7.96009616878575E-4</v>
      </c>
      <c r="C4" t="s">
        <v>49</v>
      </c>
      <c r="D4" t="s">
        <v>48</v>
      </c>
    </row>
    <row r="5" spans="1:4" x14ac:dyDescent="0.25">
      <c r="A5" t="s">
        <v>51</v>
      </c>
      <c r="B5">
        <v>-9.9327383924376692E-3</v>
      </c>
      <c r="C5" t="s">
        <v>49</v>
      </c>
      <c r="D5" t="s">
        <v>48</v>
      </c>
    </row>
    <row r="6" spans="1:4" x14ac:dyDescent="0.25">
      <c r="A6" t="s">
        <v>52</v>
      </c>
      <c r="B6">
        <v>8.1790137957543793E-2</v>
      </c>
      <c r="C6" t="s">
        <v>49</v>
      </c>
      <c r="D6" t="s">
        <v>48</v>
      </c>
    </row>
    <row r="7" spans="1:4" x14ac:dyDescent="0.25">
      <c r="A7" t="s">
        <v>53</v>
      </c>
      <c r="B7">
        <v>7.0657887188837407E-2</v>
      </c>
      <c r="C7" t="s">
        <v>49</v>
      </c>
      <c r="D7" t="s">
        <v>48</v>
      </c>
    </row>
    <row r="8" spans="1:4" x14ac:dyDescent="0.25">
      <c r="A8" t="s">
        <v>54</v>
      </c>
      <c r="B8">
        <v>7.0293739084018199E-4</v>
      </c>
      <c r="C8" t="s">
        <v>49</v>
      </c>
      <c r="D8" t="s">
        <v>48</v>
      </c>
    </row>
    <row r="9" spans="1:4" x14ac:dyDescent="0.25">
      <c r="A9" t="s">
        <v>55</v>
      </c>
      <c r="B9">
        <v>0.26356390981193401</v>
      </c>
      <c r="C9" t="s">
        <v>49</v>
      </c>
      <c r="D9" t="s">
        <v>48</v>
      </c>
    </row>
    <row r="10" spans="1:4" x14ac:dyDescent="0.25">
      <c r="A10" t="s">
        <v>56</v>
      </c>
      <c r="B10">
        <v>0.101944066169411</v>
      </c>
      <c r="C10" t="s">
        <v>57</v>
      </c>
      <c r="D10" t="s">
        <v>58</v>
      </c>
    </row>
    <row r="11" spans="1:4" x14ac:dyDescent="0.25">
      <c r="A11" t="s">
        <v>59</v>
      </c>
      <c r="B11">
        <v>-0.105104978728353</v>
      </c>
      <c r="C11" t="s">
        <v>57</v>
      </c>
      <c r="D11" t="s">
        <v>58</v>
      </c>
    </row>
    <row r="12" spans="1:4" x14ac:dyDescent="0.25">
      <c r="A12" t="s">
        <v>60</v>
      </c>
      <c r="B12">
        <v>-0.17210521139118301</v>
      </c>
      <c r="C12" t="s">
        <v>57</v>
      </c>
      <c r="D12" t="s">
        <v>58</v>
      </c>
    </row>
    <row r="13" spans="1:4" x14ac:dyDescent="0.25">
      <c r="A13" t="s">
        <v>61</v>
      </c>
      <c r="B13">
        <v>0.27361261448996699</v>
      </c>
      <c r="C13" t="s">
        <v>57</v>
      </c>
      <c r="D13" t="s">
        <v>62</v>
      </c>
    </row>
    <row r="14" spans="1:4" x14ac:dyDescent="0.25">
      <c r="A14" t="s">
        <v>63</v>
      </c>
      <c r="B14">
        <v>0.211585684562351</v>
      </c>
      <c r="C14" t="s">
        <v>57</v>
      </c>
      <c r="D14" t="s">
        <v>62</v>
      </c>
    </row>
    <row r="15" spans="1:4" x14ac:dyDescent="0.25">
      <c r="A15" t="s">
        <v>64</v>
      </c>
      <c r="B15">
        <v>0.43614815283182201</v>
      </c>
      <c r="C15" t="s">
        <v>57</v>
      </c>
      <c r="D15" t="s">
        <v>62</v>
      </c>
    </row>
    <row r="16" spans="1:4" x14ac:dyDescent="0.25">
      <c r="A16" t="s">
        <v>65</v>
      </c>
      <c r="B16">
        <v>-0.23160429465329799</v>
      </c>
      <c r="C16" t="s">
        <v>57</v>
      </c>
      <c r="D16" t="s">
        <v>66</v>
      </c>
    </row>
    <row r="17" spans="1:4" x14ac:dyDescent="0.25">
      <c r="A17" t="s">
        <v>67</v>
      </c>
      <c r="B17">
        <v>-6.0844537525238399E-2</v>
      </c>
      <c r="C17" t="s">
        <v>57</v>
      </c>
      <c r="D17" t="s">
        <v>66</v>
      </c>
    </row>
    <row r="18" spans="1:4" x14ac:dyDescent="0.25">
      <c r="A18" t="s">
        <v>68</v>
      </c>
      <c r="B18">
        <v>-0.16546661970474399</v>
      </c>
      <c r="C18" t="s">
        <v>57</v>
      </c>
      <c r="D18" t="s">
        <v>48</v>
      </c>
    </row>
    <row r="19" spans="1:4" x14ac:dyDescent="0.25">
      <c r="A19" t="s">
        <v>69</v>
      </c>
      <c r="B19">
        <v>-0.24300757325054201</v>
      </c>
      <c r="C19" t="s">
        <v>57</v>
      </c>
      <c r="D19" t="s">
        <v>48</v>
      </c>
    </row>
    <row r="20" spans="1:4" x14ac:dyDescent="0.25">
      <c r="A20" t="s">
        <v>70</v>
      </c>
      <c r="B20">
        <v>4.8485209644934003E-2</v>
      </c>
      <c r="C20" t="s">
        <v>57</v>
      </c>
      <c r="D20" t="s">
        <v>71</v>
      </c>
    </row>
    <row r="21" spans="1:4" x14ac:dyDescent="0.25">
      <c r="A21" t="s">
        <v>72</v>
      </c>
      <c r="B21">
        <v>-3.7945576299861701E-3</v>
      </c>
      <c r="C21" t="s">
        <v>57</v>
      </c>
      <c r="D21" t="s">
        <v>71</v>
      </c>
    </row>
    <row r="22" spans="1:4" x14ac:dyDescent="0.25">
      <c r="A22" t="s">
        <v>73</v>
      </c>
      <c r="B22">
        <v>-0.193139886541838</v>
      </c>
      <c r="C22" t="s">
        <v>57</v>
      </c>
      <c r="D22" t="s">
        <v>71</v>
      </c>
    </row>
    <row r="23" spans="1:4" x14ac:dyDescent="0.25">
      <c r="A23" t="s">
        <v>74</v>
      </c>
      <c r="B23">
        <v>6.912558694893E-3</v>
      </c>
      <c r="C23" t="s">
        <v>57</v>
      </c>
      <c r="D23" t="s">
        <v>71</v>
      </c>
    </row>
    <row r="24" spans="1:4" x14ac:dyDescent="0.25">
      <c r="A24" t="s">
        <v>75</v>
      </c>
      <c r="B24">
        <v>-0.26882894287092901</v>
      </c>
      <c r="C24" t="s">
        <v>57</v>
      </c>
      <c r="D24" t="s">
        <v>48</v>
      </c>
    </row>
    <row r="25" spans="1:4" x14ac:dyDescent="0.25">
      <c r="A25" t="s">
        <v>76</v>
      </c>
      <c r="B25">
        <v>0.213396456998308</v>
      </c>
      <c r="C25" t="s">
        <v>49</v>
      </c>
      <c r="D25" t="s">
        <v>48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DE33-ACFF-4579-BE93-2BCA9A16EFFE}">
  <dimension ref="A1:M30"/>
  <sheetViews>
    <sheetView workbookViewId="0">
      <selection activeCell="G11" sqref="G11"/>
    </sheetView>
  </sheetViews>
  <sheetFormatPr defaultRowHeight="15" x14ac:dyDescent="0.25"/>
  <cols>
    <col min="1" max="1" width="29" customWidth="1"/>
    <col min="2" max="2" width="11.85546875" customWidth="1"/>
    <col min="4" max="4" width="13" customWidth="1"/>
    <col min="5" max="5" width="11.42578125" customWidth="1"/>
    <col min="7" max="7" width="20.85546875" customWidth="1"/>
    <col min="13" max="13" width="30.85546875" customWidth="1"/>
  </cols>
  <sheetData>
    <row r="1" spans="1:13" x14ac:dyDescent="0.25">
      <c r="A1" t="s">
        <v>2</v>
      </c>
      <c r="B1">
        <f>Input!B4</f>
        <v>45</v>
      </c>
      <c r="C1">
        <f t="shared" ref="C1:C11" si="0">B1</f>
        <v>45</v>
      </c>
      <c r="D1">
        <f>IFERROR(VLOOKUP(A1,Coefficients!A:B,2,FALSE),0)</f>
        <v>-3.9978376111004001E-2</v>
      </c>
      <c r="E1">
        <f t="shared" ref="E1:E11" si="1">C1*D1</f>
        <v>-1.79902692499518</v>
      </c>
      <c r="G1" s="2" t="s">
        <v>77</v>
      </c>
      <c r="M1" t="s">
        <v>78</v>
      </c>
    </row>
    <row r="2" spans="1:13" x14ac:dyDescent="0.25">
      <c r="A2" t="s">
        <v>79</v>
      </c>
      <c r="B2">
        <f>Input!B5</f>
        <v>95000</v>
      </c>
      <c r="C2">
        <f t="shared" si="0"/>
        <v>95000</v>
      </c>
      <c r="D2">
        <f>IFERROR(VLOOKUP(A2,Coefficients!A:B,2,FALSE),0)</f>
        <v>0</v>
      </c>
      <c r="E2">
        <f t="shared" si="1"/>
        <v>0</v>
      </c>
      <c r="G2">
        <f>SUM(E:E)</f>
        <v>-2.7365657498605662</v>
      </c>
      <c r="M2" t="s">
        <v>80</v>
      </c>
    </row>
    <row r="3" spans="1:13" x14ac:dyDescent="0.25">
      <c r="A3" t="s">
        <v>81</v>
      </c>
      <c r="B3">
        <f>Input!B13</f>
        <v>85000</v>
      </c>
      <c r="C3">
        <f t="shared" si="0"/>
        <v>85000</v>
      </c>
      <c r="D3">
        <f>IFERROR(VLOOKUP(A3,Coefficients!A:B,2,FALSE),0)</f>
        <v>0</v>
      </c>
      <c r="E3">
        <f t="shared" si="1"/>
        <v>0</v>
      </c>
      <c r="M3" t="s">
        <v>6</v>
      </c>
    </row>
    <row r="4" spans="1:13" x14ac:dyDescent="0.25">
      <c r="A4" t="s">
        <v>50</v>
      </c>
      <c r="B4">
        <f>Input!B19</f>
        <v>750</v>
      </c>
      <c r="C4">
        <f t="shared" si="0"/>
        <v>750</v>
      </c>
      <c r="D4">
        <f>IFERROR(VLOOKUP(A4,Coefficients!A:B,2,FALSE),0)</f>
        <v>-7.96009616878575E-4</v>
      </c>
      <c r="E4">
        <f t="shared" si="1"/>
        <v>-0.5970072126589312</v>
      </c>
      <c r="G4" s="2" t="s">
        <v>29</v>
      </c>
      <c r="M4" t="s">
        <v>82</v>
      </c>
    </row>
    <row r="5" spans="1:13" x14ac:dyDescent="0.25">
      <c r="A5" t="s">
        <v>51</v>
      </c>
      <c r="B5">
        <f>Input!B6</f>
        <v>48</v>
      </c>
      <c r="C5">
        <f t="shared" si="0"/>
        <v>48</v>
      </c>
      <c r="D5">
        <f>IFERROR(VLOOKUP(A5,Coefficients!A:B,2,FALSE),0)</f>
        <v>-9.9327383924376692E-3</v>
      </c>
      <c r="E5">
        <f t="shared" si="1"/>
        <v>-0.47677144283700812</v>
      </c>
      <c r="G5">
        <f>1/(1+EXP(-G2))</f>
        <v>6.0849865222018844E-2</v>
      </c>
      <c r="M5" t="s">
        <v>83</v>
      </c>
    </row>
    <row r="6" spans="1:13" x14ac:dyDescent="0.25">
      <c r="A6" t="s">
        <v>52</v>
      </c>
      <c r="B6">
        <f>Input!B21</f>
        <v>6</v>
      </c>
      <c r="C6">
        <f t="shared" si="0"/>
        <v>6</v>
      </c>
      <c r="D6">
        <f>IFERROR(VLOOKUP(A6,Coefficients!A:B,2,FALSE),0)</f>
        <v>8.1790137957543793E-2</v>
      </c>
      <c r="E6">
        <f t="shared" si="1"/>
        <v>0.49074082774526273</v>
      </c>
      <c r="M6" t="s">
        <v>84</v>
      </c>
    </row>
    <row r="7" spans="1:13" x14ac:dyDescent="0.25">
      <c r="A7" t="s">
        <v>53</v>
      </c>
      <c r="B7">
        <f>Input!B14</f>
        <v>15</v>
      </c>
      <c r="C7">
        <f t="shared" si="0"/>
        <v>15</v>
      </c>
      <c r="D7">
        <f>IFERROR(VLOOKUP(A7,Coefficients!A:B,2,FALSE),0)</f>
        <v>7.0657887188837407E-2</v>
      </c>
      <c r="E7">
        <f t="shared" si="1"/>
        <v>1.059868307832561</v>
      </c>
      <c r="G7" s="2" t="s">
        <v>85</v>
      </c>
      <c r="M7" t="s">
        <v>86</v>
      </c>
    </row>
    <row r="8" spans="1:13" x14ac:dyDescent="0.25">
      <c r="A8" t="s">
        <v>54</v>
      </c>
      <c r="B8">
        <f>Input!B15</f>
        <v>36</v>
      </c>
      <c r="C8">
        <f t="shared" si="0"/>
        <v>36</v>
      </c>
      <c r="D8">
        <f>IFERROR(VLOOKUP(A8,Coefficients!A:B,2,FALSE),0)</f>
        <v>7.0293739084018199E-4</v>
      </c>
      <c r="E8">
        <f t="shared" si="1"/>
        <v>2.5305746070246552E-2</v>
      </c>
      <c r="G8">
        <f>G5*100</f>
        <v>6.0849865222018842</v>
      </c>
      <c r="M8" t="s">
        <v>8</v>
      </c>
    </row>
    <row r="9" spans="1:13" x14ac:dyDescent="0.25">
      <c r="A9" t="s">
        <v>55</v>
      </c>
      <c r="B9">
        <f>Input!B20</f>
        <v>0.6</v>
      </c>
      <c r="C9">
        <f t="shared" si="0"/>
        <v>0.6</v>
      </c>
      <c r="D9">
        <f>IFERROR(VLOOKUP(A9,Coefficients!A:B,2,FALSE),0)</f>
        <v>0.26356390981193401</v>
      </c>
      <c r="E9">
        <f t="shared" si="1"/>
        <v>0.15813834588716039</v>
      </c>
      <c r="M9" t="s">
        <v>87</v>
      </c>
    </row>
    <row r="10" spans="1:13" x14ac:dyDescent="0.25">
      <c r="A10" t="s">
        <v>76</v>
      </c>
      <c r="B10">
        <f>Input!B13/Input!B5</f>
        <v>0.89473684210526316</v>
      </c>
      <c r="C10">
        <f t="shared" si="0"/>
        <v>0.89473684210526316</v>
      </c>
      <c r="D10">
        <f>IFERROR(VLOOKUP(A10,Coefficients!A:B,2,FALSE),0)</f>
        <v>0.213396456998308</v>
      </c>
      <c r="E10">
        <f t="shared" si="1"/>
        <v>0.19093367205111769</v>
      </c>
      <c r="G10" s="2" t="s">
        <v>88</v>
      </c>
      <c r="M10" t="s">
        <v>89</v>
      </c>
    </row>
    <row r="11" spans="1:13" x14ac:dyDescent="0.25">
      <c r="A11" t="s">
        <v>46</v>
      </c>
      <c r="B11">
        <v>1</v>
      </c>
      <c r="C11">
        <f t="shared" si="0"/>
        <v>1</v>
      </c>
      <c r="D11">
        <f>IFERROR(VLOOKUP(A11,Coefficients!A:B,2,FALSE),0)</f>
        <v>-1.11144393312958</v>
      </c>
      <c r="E11">
        <f t="shared" si="1"/>
        <v>-1.11144393312958</v>
      </c>
      <c r="G11" t="str">
        <f>IF(G8&lt;5,"LOW",IF(G8&lt;15,"MEDIUM",IF(G8&lt;25,"HIGH","VERY HIGH")))</f>
        <v>MEDIUM</v>
      </c>
      <c r="M11" t="s">
        <v>10</v>
      </c>
    </row>
    <row r="12" spans="1:13" x14ac:dyDescent="0.25">
      <c r="A12" t="s">
        <v>56</v>
      </c>
      <c r="B12" t="str">
        <f>Input!B7</f>
        <v>Bachelor's</v>
      </c>
      <c r="C12">
        <f>IF(B12="HighSchool",1,0)</f>
        <v>0</v>
      </c>
      <c r="D12">
        <f>IFERROR(VLOOKUP(A12,Coefficients!A:B,2,FALSE),0)</f>
        <v>0.101944066169411</v>
      </c>
      <c r="E12">
        <f>C12*D12</f>
        <v>0</v>
      </c>
      <c r="M12" t="s">
        <v>90</v>
      </c>
    </row>
    <row r="13" spans="1:13" x14ac:dyDescent="0.25">
      <c r="A13" t="s">
        <v>91</v>
      </c>
      <c r="B13" t="str">
        <f>Input!B7</f>
        <v>Bachelor's</v>
      </c>
      <c r="C13">
        <f>IF(B13="Bachelor's",1,0)</f>
        <v>1</v>
      </c>
      <c r="D13">
        <f>IFERROR(VLOOKUP(A13,Coefficients!A:B,2,FALSE),0)</f>
        <v>0</v>
      </c>
      <c r="E13">
        <f>C13*D13</f>
        <v>0</v>
      </c>
      <c r="M13" t="s">
        <v>12</v>
      </c>
    </row>
    <row r="14" spans="1:13" x14ac:dyDescent="0.25">
      <c r="A14" t="s">
        <v>59</v>
      </c>
      <c r="B14" t="str">
        <f>Input!B7</f>
        <v>Bachelor's</v>
      </c>
      <c r="C14">
        <f>IF(B14="Master's",1,0)</f>
        <v>0</v>
      </c>
      <c r="D14">
        <f>IFERROR(VLOOKUP(A14,Coefficients!A:B,2,FALSE),0)</f>
        <v>-0.105104978728353</v>
      </c>
      <c r="E14">
        <f>C14*D14</f>
        <v>0</v>
      </c>
      <c r="M14" t="s">
        <v>92</v>
      </c>
    </row>
    <row r="15" spans="1:13" x14ac:dyDescent="0.25">
      <c r="A15" t="s">
        <v>60</v>
      </c>
      <c r="B15" t="str">
        <f>Input!B7</f>
        <v>Bachelor's</v>
      </c>
      <c r="C15">
        <f>IF(B15="PhD",1,0)</f>
        <v>0</v>
      </c>
      <c r="D15">
        <f>IFERROR(VLOOKUP(A15,Coefficients!A:B,2,FALSE),0)</f>
        <v>-0.17210521139118301</v>
      </c>
      <c r="E15">
        <f>C15*D15</f>
        <v>0</v>
      </c>
      <c r="M15" t="s">
        <v>18</v>
      </c>
    </row>
    <row r="16" spans="1:13" x14ac:dyDescent="0.25">
      <c r="A16" t="s">
        <v>64</v>
      </c>
      <c r="B16" t="str">
        <f>Input!B8</f>
        <v>Full-Time</v>
      </c>
      <c r="C16">
        <f>IF(B16="Unemployed",1,0)</f>
        <v>0</v>
      </c>
      <c r="D16">
        <f>IFERROR(VLOOKUP(A16,Coefficients!A:B,2,FALSE),0)</f>
        <v>0.43614815283182201</v>
      </c>
      <c r="E16">
        <f t="shared" ref="E16:E18" si="2">C16*D16</f>
        <v>0</v>
      </c>
      <c r="M16">
        <v>12</v>
      </c>
    </row>
    <row r="17" spans="1:13" x14ac:dyDescent="0.25">
      <c r="A17" t="s">
        <v>61</v>
      </c>
      <c r="B17" t="str">
        <f>Input!B8</f>
        <v>Full-Time</v>
      </c>
      <c r="C17">
        <f>IF(B17="Part-Time",1,0)</f>
        <v>0</v>
      </c>
      <c r="D17">
        <f>IFERROR(VLOOKUP(A17,Coefficients!A:B,2,FALSE),0)</f>
        <v>0.27361261448996699</v>
      </c>
      <c r="E17">
        <f t="shared" si="2"/>
        <v>0</v>
      </c>
      <c r="M17">
        <v>24</v>
      </c>
    </row>
    <row r="18" spans="1:13" x14ac:dyDescent="0.25">
      <c r="A18" t="s">
        <v>93</v>
      </c>
      <c r="B18" t="str">
        <f>Input!B8</f>
        <v>Full-Time</v>
      </c>
      <c r="C18">
        <f>IF(B18="Full-Time",1,0)</f>
        <v>1</v>
      </c>
      <c r="D18">
        <f>IFERROR(VLOOKUP(A18,Coefficients!A:B,2,FALSE),0)</f>
        <v>0</v>
      </c>
      <c r="E18">
        <f t="shared" si="2"/>
        <v>0</v>
      </c>
      <c r="M18">
        <v>36</v>
      </c>
    </row>
    <row r="19" spans="1:13" x14ac:dyDescent="0.25">
      <c r="A19" t="s">
        <v>63</v>
      </c>
      <c r="B19" t="str">
        <f>Input!B8</f>
        <v>Full-Time</v>
      </c>
      <c r="C19">
        <f>IF(B19="Self-Employed",1,0)</f>
        <v>0</v>
      </c>
      <c r="D19">
        <f>IFERROR(VLOOKUP(A19,Coefficients!A:B,2,FALSE),0)</f>
        <v>0.211585684562351</v>
      </c>
      <c r="E19">
        <f>C19*D19</f>
        <v>0</v>
      </c>
      <c r="M19">
        <v>48</v>
      </c>
    </row>
    <row r="20" spans="1:13" x14ac:dyDescent="0.25">
      <c r="A20" t="s">
        <v>67</v>
      </c>
      <c r="B20" t="str">
        <f>Input!B9</f>
        <v>Divorced</v>
      </c>
      <c r="C20">
        <f>IF(B20="Single",1,0)</f>
        <v>0</v>
      </c>
      <c r="D20">
        <f>IFERROR(VLOOKUP(A20,Coefficients!A:B,2,FALSE),0)</f>
        <v>-6.0844537525238399E-2</v>
      </c>
      <c r="E20">
        <f t="shared" ref="E20:E25" si="3">C20*D20</f>
        <v>0</v>
      </c>
      <c r="M20">
        <v>60</v>
      </c>
    </row>
    <row r="21" spans="1:13" x14ac:dyDescent="0.25">
      <c r="A21" t="s">
        <v>65</v>
      </c>
      <c r="B21" t="str">
        <f>Input!B9</f>
        <v>Divorced</v>
      </c>
      <c r="C21">
        <f>IF(B21="Married",1,0)</f>
        <v>0</v>
      </c>
      <c r="D21">
        <f>IFERROR(VLOOKUP(A21,Coefficients!A:B,2,FALSE),0)</f>
        <v>-0.23160429465329799</v>
      </c>
      <c r="E21">
        <f t="shared" si="3"/>
        <v>0</v>
      </c>
      <c r="M21">
        <v>72</v>
      </c>
    </row>
    <row r="22" spans="1:13" x14ac:dyDescent="0.25">
      <c r="A22" t="s">
        <v>94</v>
      </c>
      <c r="B22" t="str">
        <f>Input!B9</f>
        <v>Divorced</v>
      </c>
      <c r="C22">
        <f>IF(B22="Divorced",1,0)</f>
        <v>1</v>
      </c>
      <c r="D22">
        <f>IFERROR(VLOOKUP(A22,Coefficients!A:B,2,FALSE),0)</f>
        <v>0</v>
      </c>
      <c r="E22">
        <f t="shared" si="3"/>
        <v>0</v>
      </c>
      <c r="M22">
        <v>84</v>
      </c>
    </row>
    <row r="23" spans="1:13" x14ac:dyDescent="0.25">
      <c r="A23" t="s">
        <v>68</v>
      </c>
      <c r="B23" t="str">
        <f>Input!B22</f>
        <v>Yes</v>
      </c>
      <c r="C23">
        <f>IF(B23="Yes",1,0)</f>
        <v>1</v>
      </c>
      <c r="D23">
        <f>IFERROR(VLOOKUP(A23,Coefficients!A:B,2,FALSE),0)</f>
        <v>-0.16546661970474399</v>
      </c>
      <c r="E23">
        <f t="shared" si="3"/>
        <v>-0.16546661970474399</v>
      </c>
    </row>
    <row r="24" spans="1:13" x14ac:dyDescent="0.25">
      <c r="A24" s="1" t="s">
        <v>69</v>
      </c>
      <c r="B24" t="str">
        <f>Input!B10</f>
        <v>Yes</v>
      </c>
      <c r="C24">
        <f>IF(B24="Yes",1,0)</f>
        <v>1</v>
      </c>
      <c r="D24">
        <f>IFERROR(VLOOKUP(A24,Coefficients!A:B,2,FALSE),0)</f>
        <v>-0.24300757325054201</v>
      </c>
      <c r="E24">
        <f t="shared" si="3"/>
        <v>-0.24300757325054201</v>
      </c>
    </row>
    <row r="25" spans="1:13" x14ac:dyDescent="0.25">
      <c r="A25" t="s">
        <v>75</v>
      </c>
      <c r="B25" t="str">
        <f>Input!B23</f>
        <v>Yes</v>
      </c>
      <c r="C25">
        <f>IF(B25="Yes",1,0)</f>
        <v>1</v>
      </c>
      <c r="D25">
        <f>IFERROR(VLOOKUP(A25,Coefficients!A:B,2,FALSE),0)</f>
        <v>-0.26882894287092901</v>
      </c>
      <c r="E25">
        <f t="shared" si="3"/>
        <v>-0.26882894287092901</v>
      </c>
    </row>
    <row r="26" spans="1:13" x14ac:dyDescent="0.25">
      <c r="A26" s="1" t="s">
        <v>74</v>
      </c>
      <c r="B26" t="str">
        <f>Input!B16</f>
        <v>Auto</v>
      </c>
      <c r="C26">
        <f>IF(B26="Other",1,0)</f>
        <v>0</v>
      </c>
      <c r="D26">
        <f>IFERROR(VLOOKUP(A26,Coefficients!A:B,2,FALSE),0)</f>
        <v>6.912558694893E-3</v>
      </c>
      <c r="E26">
        <f>C26*D26</f>
        <v>0</v>
      </c>
    </row>
    <row r="27" spans="1:13" x14ac:dyDescent="0.25">
      <c r="A27" s="1" t="s">
        <v>95</v>
      </c>
      <c r="B27" t="str">
        <f>Input!B16</f>
        <v>Auto</v>
      </c>
      <c r="C27">
        <f>IF(B27="Auto",1,0)</f>
        <v>1</v>
      </c>
      <c r="D27">
        <f>IFERROR(VLOOKUP(A27,Coefficients!A:B,2,FALSE),0)</f>
        <v>0</v>
      </c>
      <c r="E27">
        <f>C27*D27</f>
        <v>0</v>
      </c>
    </row>
    <row r="28" spans="1:13" x14ac:dyDescent="0.25">
      <c r="A28" s="1" t="s">
        <v>72</v>
      </c>
      <c r="B28" t="str">
        <f>Input!B16</f>
        <v>Auto</v>
      </c>
      <c r="C28">
        <f>IF(B28="Education",1,0)</f>
        <v>0</v>
      </c>
      <c r="D28">
        <f>IFERROR(VLOOKUP(A28,Coefficients!A:B,2,FALSE),0)</f>
        <v>-3.7945576299861701E-3</v>
      </c>
      <c r="E28">
        <f>C28*D28</f>
        <v>0</v>
      </c>
    </row>
    <row r="29" spans="1:13" x14ac:dyDescent="0.25">
      <c r="A29" t="s">
        <v>73</v>
      </c>
      <c r="B29" t="str">
        <f>Input!B16</f>
        <v>Auto</v>
      </c>
      <c r="C29">
        <f>IF(B29="Home",1,0)</f>
        <v>0</v>
      </c>
      <c r="D29">
        <f>IFERROR(VLOOKUP(A29,Coefficients!A:B,2,FALSE),0)</f>
        <v>-0.193139886541838</v>
      </c>
      <c r="E29">
        <f t="shared" ref="E29:E30" si="4">C29*D29</f>
        <v>0</v>
      </c>
    </row>
    <row r="30" spans="1:13" x14ac:dyDescent="0.25">
      <c r="A30" t="s">
        <v>70</v>
      </c>
      <c r="B30" t="str">
        <f>Input!B16</f>
        <v>Auto</v>
      </c>
      <c r="C30">
        <f>IF(B30="Business",1,0)</f>
        <v>0</v>
      </c>
      <c r="D30">
        <f>IFERROR(VLOOKUP(A30,Coefficients!A:B,2,FALSE),0)</f>
        <v>4.8485209644934003E-2</v>
      </c>
      <c r="E30">
        <f t="shared" si="4"/>
        <v>0</v>
      </c>
    </row>
  </sheetData>
  <sheetProtection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5ABB7-7B20-4AFC-B3A0-FC63794C94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Input</vt:lpstr>
      <vt:lpstr>Results Dashboard</vt:lpstr>
      <vt:lpstr>Coefficients</vt:lpstr>
      <vt:lpstr>Calculations</vt:lpstr>
      <vt:lpstr>Input!Print_Area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Hopes</dc:creator>
  <cp:keywords/>
  <dc:description/>
  <cp:lastModifiedBy>Patrick Hopes</cp:lastModifiedBy>
  <cp:revision/>
  <cp:lastPrinted>2025-08-17T20:13:11Z</cp:lastPrinted>
  <dcterms:created xsi:type="dcterms:W3CDTF">2025-08-09T01:59:22Z</dcterms:created>
  <dcterms:modified xsi:type="dcterms:W3CDTF">2026-10-13T17:44:10Z</dcterms:modified>
  <cp:category/>
  <cp:contentStatus/>
</cp:coreProperties>
</file>